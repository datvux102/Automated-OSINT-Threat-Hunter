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d8f8e88c2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681a54739994b2b"/>
    <x:sheet xmlns:r="http://schemas.openxmlformats.org/officeDocument/2006/relationships" name="Task Tracker" sheetId="2" r:id="Rc69cf34b42de4ab7"/>
    <x:sheet xmlns:r="http://schemas.openxmlformats.org/officeDocument/2006/relationships" name="30h Schedule" sheetId="3" r:id="R91cfe4491e614d22"/>
    <x:sheet xmlns:r="http://schemas.openxmlformats.org/officeDocument/2006/relationships" name="Risks" sheetId="4" r:id="Ra2d1d3cd92094aa1"/>
    <x:sheet xmlns:r="http://schemas.openxmlformats.org/officeDocument/2006/relationships" name="Team Roles" sheetId="5" r:id="Ra9854c9058474d86"/>
  </x:sheets>
  <x:definedNames>
    <x:definedName name="_xlnm._FilterDatabase" localSheetId="1" hidden="1">'Task Tracker'!$A$1:$L$17</x:definedName>
    <x:definedName name="_xlnm._FilterDatabase" localSheetId="2" hidden="1">'30h Schedule'!$A$1:$G$7</x:definedName>
    <x:definedName name="_xlnm._FilterDatabase" localSheetId="3" hidden="1">'Risks'!$A$1:$F$6</x:definedName>
    <x:definedName name="_xlnm._FilterDatabase" localSheetId="4" hidden="1">'Team Roles'!$A$1:$D$3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E14" authorId="0">
      <x:text>
        <x:r>
          <x:t>Project assumptions are based on the uploaded brief.md file in this chat.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12">
    <x:font>
      <x:sz val="11"/>
      <x:color theme="1"/>
      <x:name val="Calibri"/>
      <x:family val="2"/>
      <x:scheme val="minor"/>
    </x:font>
    <x:font>
      <x:b/>
      <x:sz val="18"/>
      <x:color rgb="00163A5F"/>
    </x:font>
    <x:font>
      <x:i/>
      <x:color rgb="00666666"/>
    </x:font>
    <x:font>
      <x:b/>
    </x:font>
    <x:font>
      <x:b/>
      <x:color rgb="000000FF"/>
    </x:font>
    <x:font>
      <x:color rgb="00000000"/>
    </x:font>
    <x:font>
      <x:b/>
      <x:color rgb="00C65911"/>
    </x:font>
    <x:font>
      <x:i/>
      <x:color rgb="00008000"/>
    </x:font>
    <x:font>
      <x:b/>
      <x:color rgb="00FFFFFF"/>
    </x:font>
    <x:font>
      <x:color rgb="000000FF"/>
    </x:font>
    <x:font>
      <x:color rgb="00666666"/>
    </x:font>
    <x:font>
      <x:b/>
      <x:color rgb="00000000"/>
    </x:font>
  </x:fonts>
  <x:fills count="6">
    <x:fill>
      <x:patternFill patternType="none"/>
    </x:fill>
    <x:fill>
      <x:patternFill patternType="gray125"/>
    </x:fill>
    <x:fill>
      <x:patternFill patternType="solid">
        <x:fgColor rgb="00DCEAF7"/>
      </x:patternFill>
    </x:fill>
    <x:fill>
      <x:patternFill patternType="solid">
        <x:fgColor rgb="00E2F0D9"/>
      </x:patternFill>
    </x:fill>
    <x:fill>
      <x:patternFill patternType="solid">
        <x:fgColor rgb="00FCE4D6"/>
      </x:patternFill>
    </x:fill>
    <x:fill>
      <x:patternFill patternType="solid">
        <x:fgColor rgb="00163A5F"/>
      </x:patternFill>
    </x:fill>
  </x:fills>
  <x:borders count="4">
    <x:border>
      <x:left/>
      <x:right/>
      <x:top/>
      <x:bottom/>
      <x:diagonal/>
    </x:border>
    <x:border>
      <x:top style="medium">
        <x:color rgb="00A6A6A6"/>
      </x:top>
    </x:border>
    <x:border>
      <x:bottom style="medium">
        <x:color rgb="00A6A6A6"/>
      </x:bottom>
    </x:border>
    <x:border>
      <x:bottom style="thin">
        <x:color rgb="00EDEDED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/>
    <x:xf numFmtId="0" fontId="2" fillId="0" borderId="3" xfId="0"/>
    <x:xf numFmtId="0" fontId="3" fillId="2" borderId="3" xfId="0"/>
    <x:xf numFmtId="0" fontId="3" fillId="3" borderId="3" xfId="0" applyAlignment="1">
      <x:alignment vertical="top" wrapText="1"/>
    </x:xf>
    <x:xf numFmtId="0" fontId="4" fillId="0" borderId="3" xfId="0" applyAlignment="1">
      <x:alignment horizontal="right" vertical="center"/>
    </x:xf>
    <x:xf numFmtId="0" fontId="0" fillId="0" borderId="3" xfId="0" applyAlignment="1">
      <x:alignment vertical="top" wrapText="1"/>
    </x:xf>
    <x:xf numFmtId="0" fontId="5" fillId="0" borderId="3" xfId="0" applyAlignment="1">
      <x:alignment horizontal="right" vertical="center"/>
    </x:xf>
    <x:xf numFmtId="9" fontId="5" fillId="0" borderId="3" xfId="0" applyAlignment="1">
      <x:alignment horizontal="right" vertical="center"/>
    </x:xf>
    <x:xf numFmtId="0" fontId="6" fillId="4" borderId="3" xfId="0"/>
    <x:xf numFmtId="0" fontId="7" fillId="0" borderId="3" xfId="0"/>
    <x:xf numFmtId="0" fontId="3" fillId="3" borderId="3" xfId="0"/>
    <x:xf numFmtId="0" fontId="5" fillId="0" borderId="3" xfId="0"/>
    <x:xf numFmtId="9" fontId="5" fillId="0" borderId="3" xfId="0"/>
    <x:xf numFmtId="0" fontId="8" fillId="5" borderId="2" xfId="0" applyAlignment="1">
      <x:alignment horizontal="center" vertical="center" wrapText="1"/>
    </x:xf>
    <x:xf numFmtId="164" fontId="10" fillId="0" borderId="3" xfId="0" applyAlignment="1">
      <x:alignment vertical="top" wrapText="1"/>
    </x:xf>
    <x:xf numFmtId="9" fontId="9" fillId="0" borderId="3" xfId="0" applyAlignment="1">
      <x:alignment vertical="top" wrapText="1"/>
    </x:xf>
    <x:xf numFmtId="0" fontId="3" fillId="0" borderId="3" xfId="0"/>
    <x:xf numFmtId="0" fontId="11" fillId="0" borderId="3" xfId="0"/>
    <x:xf numFmtId="9" fontId="11" fillId="0" borderId="3" xfId="0"/>
  </x:cellXfs>
  <x:cellStyles count="1">
    <x:cellStyle name="Normal" xfId="0"/>
  </x:cellStyles>
  <x:dxfs count="3">
    <x:dxf>
      <x:fill>
        <x:patternFill>
          <x:bgColor rgb="00E2F0D9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F4CC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4c4f5662354147" /><Relationship Type="http://schemas.openxmlformats.org/officeDocument/2006/relationships/theme" Target="/xl/theme/theme1.xml" Id="R3b678f4a87aa4ad9" /><Relationship Type="http://schemas.openxmlformats.org/officeDocument/2006/relationships/sharedStrings" Target="/xl/sharedStrings.xml" Id="Ra5d910b8d30f48bd" /><Relationship Type="http://schemas.openxmlformats.org/officeDocument/2006/relationships/worksheet" Target="/xl/worksheets/sheet1.xml" Id="R7681a54739994b2b" /><Relationship Type="http://schemas.openxmlformats.org/officeDocument/2006/relationships/worksheet" Target="/xl/worksheets/sheet2.xml" Id="Rc69cf34b42de4ab7" /><Relationship Type="http://schemas.openxmlformats.org/officeDocument/2006/relationships/worksheet" Target="/xl/worksheets/sheet3.xml" Id="R91cfe4491e614d22" /><Relationship Type="http://schemas.openxmlformats.org/officeDocument/2006/relationships/worksheet" Target="/xl/worksheets/sheet4.xml" Id="Ra2d1d3cd92094aa1" /><Relationship Type="http://schemas.openxmlformats.org/officeDocument/2006/relationships/worksheet" Target="/xl/worksheets/sheet5.xml" Id="Ra9854c9058474d86" /><Relationship Type="http://schemas.microsoft.com/office/2017/10/relationships/person" Target="/xl/persons/person.xml" Id="R3849ece5a18a41f9" /></Relationships>
</file>

<file path=xl/persons/person.xml><?xml version="1.0" encoding="utf-8"?>
<xltc:personList xmlns:xltc="http://schemas.microsoft.com/office/spreadsheetml/2018/threadedcomments">
  <xltc:person displayName="OpenAI" id="{EA44775B-7FA4-5332-24FD-715AD7C4A962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7a69916cc18423c" /><Relationship Type="http://schemas.openxmlformats.org/officeDocument/2006/relationships/vmlDrawing" Target="/xl/drawings/vmldrawing.vml" Id="R8066ab98d8184e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customWidth="1"/>
    <x:col min="2" max="2" width="24" customWidth="1"/>
    <x:col min="3" max="3" width="16" customWidth="1"/>
    <x:col min="4" max="4" width="4" customWidth="1"/>
    <x:col min="5" max="5" width="56" customWidth="1"/>
    <x:col min="6" max="6" width="4" customWidth="1"/>
  </x:cols>
  <x:sheetData>
    <x:row r="1" ht="28" customHeight="1">
      <x:c r="A1" s="1" t="inlineStr">
        <x:is>
          <x:t xml:space="preserve">CyberSentinel AI - 30h MVP Tracker</x:t>
        </x:is>
      </x:c>
    </x:row>
    <x:row r="2" ht="22" customHeight="1">
      <x:c r="A2" s="2" t="inlineStr">
        <x:is>
          <x:t xml:space="preserve">Hackathon sprint plan for a 2-person team, based on the uploaded project brief.</x:t>
        </x:is>
      </x:c>
    </x:row>
    <x:row r="3" ht="22" customHeight="1"/>
    <x:row r="4" ht="22" customHeight="1">
      <x:c r="A4" s="3" t="inlineStr">
        <x:is>
          <x:t xml:space="preserve">Sprint Controls</x:t>
        </x:is>
      </x:c>
      <x:c r="E4" s="3" t="inlineStr">
        <x:is>
          <x:t xml:space="preserve">Definition of Done</x:t>
        </x:is>
      </x:c>
    </x:row>
    <x:row r="5" ht="22" customHeight="1">
      <x:c r="B5" s="4" t="inlineStr">
        <x:is>
          <x:t xml:space="preserve">Sprint Window (hours)</x:t>
        </x:is>
      </x:c>
      <x:c r="C5" s="5" t="n">
        <x:v>30</x:v>
      </x:c>
      <x:c r="E5" s="6" t="inlineStr">
        <x:is>
          <x:t xml:space="preserve">1. Collector hoặc mock source tạo được raw text cho 1 case demo</x:t>
        </x:is>
      </x:c>
    </x:row>
    <x:row r="6" ht="22" customHeight="1">
      <x:c r="B6" s="4" t="inlineStr">
        <x:is>
          <x:t xml:space="preserve">Team Size</x:t>
        </x:is>
      </x:c>
      <x:c r="C6" s="5" t="n">
        <x:v>2</x:v>
      </x:c>
      <x:c r="E6" s="6" t="inlineStr">
        <x:is>
          <x:t xml:space="preserve">2. API Gateway nhận được POST request JSON</x:t>
        </x:is>
      </x:c>
    </x:row>
    <x:row r="7" ht="22" customHeight="1">
      <x:c r="B7" s="4" t="inlineStr">
        <x:is>
          <x:t xml:space="preserve">Capacity (person-hours)</x:t>
        </x:is>
      </x:c>
      <x:c r="C7" s="7">
        <x:f>C5*C6</x:f>
        <x:v>60</x:v>
      </x:c>
      <x:c r="E7" s="6" t="inlineStr">
        <x:is>
          <x:t xml:space="preserve">3. Lambda gọi Bedrock và trả JSON chuẩn {is_threat, threat_type, severity}</x:t>
        </x:is>
      </x:c>
    </x:row>
    <x:row r="8" ht="22" customHeight="1">
      <x:c r="B8" s="4" t="inlineStr">
        <x:is>
          <x:t xml:space="preserve">Total Estimated Effort</x:t>
        </x:is>
      </x:c>
      <x:c r="C8" s="7">
        <x:f>SUM('Task Tracker'!J2:J17)</x:f>
        <x:v>51</x:v>
      </x:c>
      <x:c r="E8" s="6" t="inlineStr">
        <x:is>
          <x:t xml:space="preserve">4. Ít nhất 1 case được phân loại CRITICAL</x:t>
        </x:is>
      </x:c>
    </x:row>
    <x:row r="9" ht="22" customHeight="1">
      <x:c r="B9" s="4" t="inlineStr">
        <x:is>
          <x:t xml:space="preserve">Completed Tasks</x:t>
        </x:is>
      </x:c>
      <x:c r="C9" s="7">
        <x:f>COUNTIF('Task Tracker'!G2:G17,"Xong")</x:f>
        <x:v>0</x:v>
      </x:c>
      <x:c r="E9" s="6" t="inlineStr">
        <x:is>
          <x:t xml:space="preserve">5. SNS bắn cảnh báo thành công hoặc có fallback log/email để demo</x:t>
        </x:is>
      </x:c>
    </x:row>
    <x:row r="10" ht="22" customHeight="1">
      <x:c r="B10" s="4" t="inlineStr">
        <x:is>
          <x:t xml:space="preserve">Total Tasks</x:t>
        </x:is>
      </x:c>
      <x:c r="C10" s="7">
        <x:f>COUNTA('Task Tracker'!A2:A17)</x:f>
        <x:v>16</x:v>
      </x:c>
    </x:row>
    <x:row r="11" ht="22" customHeight="1">
      <x:c r="B11" s="4" t="inlineStr">
        <x:is>
          <x:t xml:space="preserve">Completion %</x:t>
        </x:is>
      </x:c>
      <x:c r="C11" s="8">
        <x:f>IFERROR(C9/C10,0)</x:f>
        <x:v>0</x:v>
      </x:c>
      <x:c r="E11" s="9" t="inlineStr">
        <x:is>
          <x:t xml:space="preserve">Scope Lock</x:t>
        </x:is>
      </x:c>
    </x:row>
    <x:row r="12" ht="34" customHeight="1">
      <x:c r="B12" s="4" t="inlineStr">
        <x:is>
          <x:t xml:space="preserve">Critical Remaining</x:t>
        </x:is>
      </x:c>
      <x:c r="C12" s="7">
        <x:f>COUNTIFS('Task Tracker'!F2:F17,"Cao",'Task Tracker'!G2:G17,"&lt;&gt;Xong")</x:f>
        <x:v>14</x:v>
      </x:c>
      <x:c r="E12" s="6" t="inlineStr">
        <x:is>
          <x:t xml:space="preserve">Chỉ làm 1 use case: phát hiện credential / API key leak trên nguồn OSINT hoặc mock input.</x:t>
        </x:is>
      </x:c>
    </x:row>
    <x:row r="13" ht="22" customHeight="1">
      <x:c r="E13" s="6" t="inlineStr">
        <x:is>
          <x:t xml:space="preserve">Không làm UI phức tạp; ưu tiên core pipeline Tiny Fish -&gt; AWS -&gt; Alert.</x:t>
        </x:is>
      </x:c>
    </x:row>
    <x:row r="14" ht="22" customHeight="1">
      <x:c r="B14" s="3" t="inlineStr">
        <x:is>
          <x:t xml:space="preserve">Live Formulas</x:t>
        </x:is>
      </x:c>
      <x:c r="E14" s="10" t="inlineStr">
        <x:is>
          <x:t xml:space="preserve">Nguồn tham chiếu: brief.md (uploaded in chat)</x:t>
        </x:is>
      </x:c>
    </x:row>
    <x:row r="15" ht="22" customHeight="1">
      <x:c r="B15" s="11" t="inlineStr">
        <x:is>
          <x:t xml:space="preserve">Schedule Blocks Done</x:t>
        </x:is>
      </x:c>
      <x:c r="C15" s="12">
        <x:f>COUNTIF('30h Schedule'!F2:F7,"Xong")</x:f>
        <x:v>0</x:v>
      </x:c>
    </x:row>
    <x:row r="16" ht="22" customHeight="1">
      <x:c r="B16" s="11" t="inlineStr">
        <x:is>
          <x:t xml:space="preserve">Schedule Blocks Total</x:t>
        </x:is>
      </x:c>
      <x:c r="C16" s="12">
        <x:f>COUNTA('30h Schedule'!A2:A7)</x:f>
        <x:v>6</x:v>
      </x:c>
    </x:row>
    <x:row r="17" ht="22" customHeight="1">
      <x:c r="B17" s="11" t="inlineStr">
        <x:is>
          <x:t xml:space="preserve">Schedule Completion %</x:t>
        </x:is>
      </x:c>
      <x:c r="C17" s="13">
        <x:f>IFERROR(C15/C16,0)</x:f>
        <x:v>0</x:v>
      </x:c>
    </x:row>
  </x:sheetData>
  <x:pageMargins left="0.7" right="0.7" top="0.75" bottom="0.75" header="0.3" footer="0.3"/>
  <x:legacyDrawing xmlns:r="http://schemas.openxmlformats.org/officeDocument/2006/relationships" r:id="R8066ab98d8184e0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16" customWidth="1"/>
    <x:col min="3" max="3" width="34" customWidth="1"/>
    <x:col min="4" max="4" width="12" customWidth="1"/>
    <x:col min="5" max="5" width="12" customWidth="1"/>
    <x:col min="6" max="6" width="12" customWidth="1"/>
    <x:col min="7" max="7" width="14" customWidth="1"/>
    <x:col min="8" max="8" width="12" customWidth="1"/>
    <x:col min="9" max="9" width="28" customWidth="1"/>
    <x:col min="10" max="10" width="10" customWidth="1"/>
    <x:col min="11" max="11" width="12" customWidth="1"/>
    <x:col min="12" max="12" width="20" customWidth="1"/>
  </x:cols>
  <x:sheetData>
    <x:row r="1">
      <x:c r="A1" s="14" t="inlineStr">
        <x:is>
          <x:t xml:space="preserve">ID</x:t>
        </x:is>
      </x:c>
      <x:c r="B1" s="14" t="inlineStr">
        <x:is>
          <x:t xml:space="preserve">Workstream</x:t>
        </x:is>
      </x:c>
      <x:c r="C1" s="14" t="inlineStr">
        <x:is>
          <x:t xml:space="preserve">Task</x:t>
        </x:is>
      </x:c>
      <x:c r="D1" s="14" t="inlineStr">
        <x:is>
          <x:t xml:space="preserve">Owner</x:t>
        </x:is>
      </x:c>
      <x:c r="E1" s="14" t="inlineStr">
        <x:is>
          <x:t xml:space="preserve">Hour Block</x:t>
        </x:is>
      </x:c>
      <x:c r="F1" s="14" t="inlineStr">
        <x:is>
          <x:t xml:space="preserve">Priority</x:t>
        </x:is>
      </x:c>
      <x:c r="G1" s="14" t="inlineStr">
        <x:is>
          <x:t xml:space="preserve">Status</x:t>
        </x:is>
      </x:c>
      <x:c r="H1" s="14" t="inlineStr">
        <x:is>
          <x:t xml:space="preserve">Dependency</x:t>
        </x:is>
      </x:c>
      <x:c r="I1" s="14" t="inlineStr">
        <x:is>
          <x:t xml:space="preserve">Deliverable</x:t>
        </x:is>
      </x:c>
      <x:c r="J1" s="14" t="inlineStr">
        <x:is>
          <x:t xml:space="preserve">Est. Hours</x:t>
        </x:is>
      </x:c>
      <x:c r="K1" s="14" t="inlineStr">
        <x:is>
          <x:t xml:space="preserve">% Complete</x:t>
        </x:is>
      </x:c>
      <x:c r="L1" s="14" t="inlineStr">
        <x:is>
          <x:t xml:space="preserve">Notes</x:t>
        </x:is>
      </x:c>
    </x:row>
    <x:row r="2">
      <x:c r="A2" s="6" t="n">
        <x:v>1</x:v>
      </x:c>
      <x:c r="B2" s="6" t="inlineStr">
        <x:is>
          <x:t xml:space="preserve">Planning</x:t>
        </x:is>
      </x:c>
      <x:c r="C2" s="6" t="inlineStr">
        <x:is>
          <x:t xml:space="preserve">Lock use case + success criteria</x:t>
        </x:is>
      </x:c>
      <x:c r="D2" s="6" t="inlineStr">
        <x:is>
          <x:t xml:space="preserve">Cả 2</x:t>
        </x:is>
      </x:c>
      <x:c r="E2" s="6" t="inlineStr">
        <x:is>
          <x:t xml:space="preserve">0-5h</x:t>
        </x:is>
      </x:c>
      <x:c r="F2" s="6" t="inlineStr">
        <x:is>
          <x:t xml:space="preserve">Cao</x:t>
        </x:is>
      </x:c>
      <x:c r="G2" s="6" t="inlineStr">
        <x:is>
          <x:t xml:space="preserve">Chưa làm</x:t>
        </x:is>
      </x:c>
      <x:c r="H2" s="6" t="inlineStr">
        <x:is>
          <x:t xml:space="preserve">-</x:t>
        </x:is>
      </x:c>
      <x:c r="I2" s="6" t="inlineStr">
        <x:is>
          <x:t xml:space="preserve">1 câu mô tả MVP + DoD</x:t>
        </x:is>
      </x:c>
      <x:c r="J2" s="15" t="n">
        <x:v>2</x:v>
      </x:c>
      <x:c r="K2" s="16" t="n">
        <x:v>0</x:v>
      </x:c>
      <x:c r="L2" s="6" t="inlineStr">
        <x:is>
          <x:t xml:space="preserve"/>
        </x:is>
      </x:c>
    </x:row>
    <x:row r="3">
      <x:c r="A3" s="6" t="n">
        <x:v>2</x:v>
      </x:c>
      <x:c r="B3" s="6" t="inlineStr">
        <x:is>
          <x:t xml:space="preserve">Planning</x:t>
        </x:is>
      </x:c>
      <x:c r="C3" s="6" t="inlineStr">
        <x:is>
          <x:t xml:space="preserve">Draw architecture + API contract</x:t>
        </x:is>
      </x:c>
      <x:c r="D3" s="6" t="inlineStr">
        <x:is>
          <x:t xml:space="preserve">Cả 2</x:t>
        </x:is>
      </x:c>
      <x:c r="E3" s="6" t="inlineStr">
        <x:is>
          <x:t xml:space="preserve">0-5h</x:t>
        </x:is>
      </x:c>
      <x:c r="F3" s="6" t="inlineStr">
        <x:is>
          <x:t xml:space="preserve">Cao</x:t>
        </x:is>
      </x:c>
      <x:c r="G3" s="6" t="inlineStr">
        <x:is>
          <x:t xml:space="preserve">Chưa làm</x:t>
        </x:is>
      </x:c>
      <x:c r="H3" s="6" t="inlineStr">
        <x:is>
          <x:t xml:space="preserve">1</x:t>
        </x:is>
      </x:c>
      <x:c r="I3" s="6" t="inlineStr">
        <x:is>
          <x:t xml:space="preserve">Architecture sketch + JSON schema</x:t>
        </x:is>
      </x:c>
      <x:c r="J3" s="15" t="n">
        <x:v>2</x:v>
      </x:c>
      <x:c r="K3" s="16" t="n">
        <x:v>0</x:v>
      </x:c>
      <x:c r="L3" s="6" t="inlineStr">
        <x:is>
          <x:t xml:space="preserve"/>
        </x:is>
      </x:c>
    </x:row>
    <x:row r="4">
      <x:c r="A4" s="6" t="n">
        <x:v>3</x:v>
      </x:c>
      <x:c r="B4" s="6" t="inlineStr">
        <x:is>
          <x:t xml:space="preserve">Setup</x:t>
        </x:is>
      </x:c>
      <x:c r="C4" s="6" t="inlineStr">
        <x:is>
          <x:t xml:space="preserve">Create repo structure + env checklist</x:t>
        </x:is>
      </x:c>
      <x:c r="D4" s="6" t="inlineStr">
        <x:is>
          <x:t xml:space="preserve">Member 1</x:t>
        </x:is>
      </x:c>
      <x:c r="E4" s="6" t="inlineStr">
        <x:is>
          <x:t xml:space="preserve">0-5h</x:t>
        </x:is>
      </x:c>
      <x:c r="F4" s="6" t="inlineStr">
        <x:is>
          <x:t xml:space="preserve">Cao</x:t>
        </x:is>
      </x:c>
      <x:c r="G4" s="6" t="inlineStr">
        <x:is>
          <x:t xml:space="preserve">Chưa làm</x:t>
        </x:is>
      </x:c>
      <x:c r="H4" s="6" t="inlineStr">
        <x:is>
          <x:t xml:space="preserve">1</x:t>
        </x:is>
      </x:c>
      <x:c r="I4" s="6" t="inlineStr">
        <x:is>
          <x:t xml:space="preserve">Repo skeleton + README setup</x:t>
        </x:is>
      </x:c>
      <x:c r="J4" s="15" t="n">
        <x:v>2</x:v>
      </x:c>
      <x:c r="K4" s="16" t="n">
        <x:v>0</x:v>
      </x:c>
      <x:c r="L4" s="6" t="inlineStr">
        <x:is>
          <x:t xml:space="preserve"/>
        </x:is>
      </x:c>
    </x:row>
    <x:row r="5">
      <x:c r="A5" s="6" t="n">
        <x:v>4</x:v>
      </x:c>
      <x:c r="B5" s="6" t="inlineStr">
        <x:is>
          <x:t xml:space="preserve">Dataset</x:t>
        </x:is>
      </x:c>
      <x:c r="C5" s="6" t="inlineStr">
        <x:is>
          <x:t xml:space="preserve">Prepare 6 test samples (benign/suspicious/critical)</x:t>
        </x:is>
      </x:c>
      <x:c r="D5" s="6" t="inlineStr">
        <x:is>
          <x:t xml:space="preserve">Member 2</x:t>
        </x:is>
      </x:c>
      <x:c r="E5" s="6" t="inlineStr">
        <x:is>
          <x:t xml:space="preserve">0-5h</x:t>
        </x:is>
      </x:c>
      <x:c r="F5" s="6" t="inlineStr">
        <x:is>
          <x:t xml:space="preserve">Cao</x:t>
        </x:is>
      </x:c>
      <x:c r="G5" s="6" t="inlineStr">
        <x:is>
          <x:t xml:space="preserve">Chưa làm</x:t>
        </x:is>
      </x:c>
      <x:c r="H5" s="6" t="inlineStr">
        <x:is>
          <x:t xml:space="preserve">1</x:t>
        </x:is>
      </x:c>
      <x:c r="I5" s="6" t="inlineStr">
        <x:is>
          <x:t xml:space="preserve">test_samples.json</x:t>
        </x:is>
      </x:c>
      <x:c r="J5" s="15" t="n">
        <x:v>3</x:v>
      </x:c>
      <x:c r="K5" s="16" t="n">
        <x:v>0</x:v>
      </x:c>
      <x:c r="L5" s="6" t="inlineStr">
        <x:is>
          <x:t xml:space="preserve"/>
        </x:is>
      </x:c>
    </x:row>
    <x:row r="6">
      <x:c r="A6" s="6" t="n">
        <x:v>5</x:v>
      </x:c>
      <x:c r="B6" s="6" t="inlineStr">
        <x:is>
          <x:t xml:space="preserve">Collection</x:t>
        </x:is>
      </x:c>
      <x:c r="C6" s="6" t="inlineStr">
        <x:is>
          <x:t xml:space="preserve">Build Tiny Fish collector v1 or mock collector</x:t>
        </x:is>
      </x:c>
      <x:c r="D6" s="6" t="inlineStr">
        <x:is>
          <x:t xml:space="preserve">Member 1</x:t>
        </x:is>
      </x:c>
      <x:c r="E6" s="6" t="inlineStr">
        <x:is>
          <x:t xml:space="preserve">5-10h</x:t>
        </x:is>
      </x:c>
      <x:c r="F6" s="6" t="inlineStr">
        <x:is>
          <x:t xml:space="preserve">Cao</x:t>
        </x:is>
      </x:c>
      <x:c r="G6" s="6" t="inlineStr">
        <x:is>
          <x:t xml:space="preserve">Chưa làm</x:t>
        </x:is>
      </x:c>
      <x:c r="H6" s="6" t="inlineStr">
        <x:is>
          <x:t xml:space="preserve">3</x:t>
        </x:is>
      </x:c>
      <x:c r="I6" s="6" t="inlineStr">
        <x:is>
          <x:t xml:space="preserve">raw text collector output</x:t>
        </x:is>
      </x:c>
      <x:c r="J6" s="15" t="n">
        <x:v>5</x:v>
      </x:c>
      <x:c r="K6" s="16" t="n">
        <x:v>0</x:v>
      </x:c>
      <x:c r="L6" s="6" t="inlineStr">
        <x:is>
          <x:t xml:space="preserve">Keep mock fallback ready</x:t>
        </x:is>
      </x:c>
    </x:row>
    <x:row r="7">
      <x:c r="A7" s="6" t="n">
        <x:v>6</x:v>
      </x:c>
      <x:c r="B7" s="6" t="inlineStr">
        <x:is>
          <x:t xml:space="preserve">AI Logic</x:t>
        </x:is>
      </x:c>
      <x:c r="C7" s="6" t="inlineStr">
        <x:is>
          <x:t xml:space="preserve">Write Bedrock prompt v1 + output schema</x:t>
        </x:is>
      </x:c>
      <x:c r="D7" s="6" t="inlineStr">
        <x:is>
          <x:t xml:space="preserve">Member 2</x:t>
        </x:is>
      </x:c>
      <x:c r="E7" s="6" t="inlineStr">
        <x:is>
          <x:t xml:space="preserve">5-10h</x:t>
        </x:is>
      </x:c>
      <x:c r="F7" s="6" t="inlineStr">
        <x:is>
          <x:t xml:space="preserve">Cao</x:t>
        </x:is>
      </x:c>
      <x:c r="G7" s="6" t="inlineStr">
        <x:is>
          <x:t xml:space="preserve">Chưa làm</x:t>
        </x:is>
      </x:c>
      <x:c r="H7" s="6" t="inlineStr">
        <x:is>
          <x:t xml:space="preserve">2,4</x:t>
        </x:is>
      </x:c>
      <x:c r="I7" s="6" t="inlineStr">
        <x:is>
          <x:t xml:space="preserve">prompt_v1.md + expected JSON</x:t>
        </x:is>
      </x:c>
      <x:c r="J7" s="15" t="n">
        <x:v>4</x:v>
      </x:c>
      <x:c r="K7" s="16" t="n">
        <x:v>0</x:v>
      </x:c>
      <x:c r="L7" s="6" t="inlineStr">
        <x:is>
          <x:t xml:space="preserve"/>
        </x:is>
      </x:c>
    </x:row>
    <x:row r="8">
      <x:c r="A8" s="6" t="n">
        <x:v>7</x:v>
      </x:c>
      <x:c r="B8" s="6" t="inlineStr">
        <x:is>
          <x:t xml:space="preserve">Cloud</x:t>
        </x:is>
      </x:c>
      <x:c r="C8" s="6" t="inlineStr">
        <x:is>
          <x:t xml:space="preserve">Deploy API Gateway endpoint</x:t>
        </x:is>
      </x:c>
      <x:c r="D8" s="6" t="inlineStr">
        <x:is>
          <x:t xml:space="preserve">Member 1</x:t>
        </x:is>
      </x:c>
      <x:c r="E8" s="6" t="inlineStr">
        <x:is>
          <x:t xml:space="preserve">10-15h</x:t>
        </x:is>
      </x:c>
      <x:c r="F8" s="6" t="inlineStr">
        <x:is>
          <x:t xml:space="preserve">Cao</x:t>
        </x:is>
      </x:c>
      <x:c r="G8" s="6" t="inlineStr">
        <x:is>
          <x:t xml:space="preserve">Chưa làm</x:t>
        </x:is>
      </x:c>
      <x:c r="H8" s="6" t="inlineStr">
        <x:is>
          <x:t xml:space="preserve">2,3</x:t>
        </x:is>
      </x:c>
      <x:c r="I8" s="6" t="inlineStr">
        <x:is>
          <x:t xml:space="preserve">POST endpoint working</x:t>
        </x:is>
      </x:c>
      <x:c r="J8" s="15" t="n">
        <x:v>3</x:v>
      </x:c>
      <x:c r="K8" s="16" t="n">
        <x:v>0</x:v>
      </x:c>
      <x:c r="L8" s="6" t="inlineStr">
        <x:is>
          <x:t xml:space="preserve"/>
        </x:is>
      </x:c>
    </x:row>
    <x:row r="9">
      <x:c r="A9" s="6" t="n">
        <x:v>8</x:v>
      </x:c>
      <x:c r="B9" s="6" t="inlineStr">
        <x:is>
          <x:t xml:space="preserve">Cloud</x:t>
        </x:is>
      </x:c>
      <x:c r="C9" s="6" t="inlineStr">
        <x:is>
          <x:t xml:space="preserve">Implement Lambda skeleton + logging</x:t>
        </x:is>
      </x:c>
      <x:c r="D9" s="6" t="inlineStr">
        <x:is>
          <x:t xml:space="preserve">Member 1</x:t>
        </x:is>
      </x:c>
      <x:c r="E9" s="6" t="inlineStr">
        <x:is>
          <x:t xml:space="preserve">10-15h</x:t>
        </x:is>
      </x:c>
      <x:c r="F9" s="6" t="inlineStr">
        <x:is>
          <x:t xml:space="preserve">Cao</x:t>
        </x:is>
      </x:c>
      <x:c r="G9" s="6" t="inlineStr">
        <x:is>
          <x:t xml:space="preserve">Chưa làm</x:t>
        </x:is>
      </x:c>
      <x:c r="H9" s="6" t="inlineStr">
        <x:is>
          <x:t xml:space="preserve">7</x:t>
        </x:is>
      </x:c>
      <x:c r="I9" s="6" t="inlineStr">
        <x:is>
          <x:t xml:space="preserve">Lambda returns mock JSON</x:t>
        </x:is>
      </x:c>
      <x:c r="J9" s="15" t="n">
        <x:v>4</x:v>
      </x:c>
      <x:c r="K9" s="16" t="n">
        <x:v>0</x:v>
      </x:c>
      <x:c r="L9" s="6" t="inlineStr">
        <x:is>
          <x:t xml:space="preserve"/>
        </x:is>
      </x:c>
    </x:row>
    <x:row r="10">
      <x:c r="A10" s="6" t="n">
        <x:v>9</x:v>
      </x:c>
      <x:c r="B10" s="6" t="inlineStr">
        <x:is>
          <x:t xml:space="preserve">AI Logic</x:t>
        </x:is>
      </x:c>
      <x:c r="C10" s="6" t="inlineStr">
        <x:is>
          <x:t xml:space="preserve">Define severity mapping + false positive rules</x:t>
        </x:is>
      </x:c>
      <x:c r="D10" s="6" t="inlineStr">
        <x:is>
          <x:t xml:space="preserve">Member 2</x:t>
        </x:is>
      </x:c>
      <x:c r="E10" s="6" t="inlineStr">
        <x:is>
          <x:t xml:space="preserve">10-15h</x:t>
        </x:is>
      </x:c>
      <x:c r="F10" s="6" t="inlineStr">
        <x:is>
          <x:t xml:space="preserve">Trung bình</x:t>
        </x:is>
      </x:c>
      <x:c r="G10" s="6" t="inlineStr">
        <x:is>
          <x:t xml:space="preserve">Chưa làm</x:t>
        </x:is>
      </x:c>
      <x:c r="H10" s="6" t="inlineStr">
        <x:is>
          <x:t xml:space="preserve">6</x:t>
        </x:is>
      </x:c>
      <x:c r="I10" s="6" t="inlineStr">
        <x:is>
          <x:t xml:space="preserve">severity rules table</x:t>
        </x:is>
      </x:c>
      <x:c r="J10" s="15" t="n">
        <x:v>3</x:v>
      </x:c>
      <x:c r="K10" s="16" t="n">
        <x:v>0</x:v>
      </x:c>
      <x:c r="L10" s="6" t="inlineStr">
        <x:is>
          <x:t xml:space="preserve"/>
        </x:is>
      </x:c>
    </x:row>
    <x:row r="11">
      <x:c r="A11" s="6" t="n">
        <x:v>10</x:v>
      </x:c>
      <x:c r="B11" s="6" t="inlineStr">
        <x:is>
          <x:t xml:space="preserve">Integration</x:t>
        </x:is>
      </x:c>
      <x:c r="C11" s="6" t="inlineStr">
        <x:is>
          <x:t xml:space="preserve">Connect Lambda to Bedrock</x:t>
        </x:is>
      </x:c>
      <x:c r="D11" s="6" t="inlineStr">
        <x:is>
          <x:t xml:space="preserve">Member 1</x:t>
        </x:is>
      </x:c>
      <x:c r="E11" s="6" t="inlineStr">
        <x:is>
          <x:t xml:space="preserve">15-20h</x:t>
        </x:is>
      </x:c>
      <x:c r="F11" s="6" t="inlineStr">
        <x:is>
          <x:t xml:space="preserve">Cao</x:t>
        </x:is>
      </x:c>
      <x:c r="G11" s="6" t="inlineStr">
        <x:is>
          <x:t xml:space="preserve">Chưa làm</x:t>
        </x:is>
      </x:c>
      <x:c r="H11" s="6" t="inlineStr">
        <x:is>
          <x:t xml:space="preserve">8,6</x:t>
        </x:is>
      </x:c>
      <x:c r="I11" s="6" t="inlineStr">
        <x:is>
          <x:t xml:space="preserve">AI response visible end-to-end</x:t>
        </x:is>
      </x:c>
      <x:c r="J11" s="15" t="n">
        <x:v>5</x:v>
      </x:c>
      <x:c r="K11" s="16" t="n">
        <x:v>0</x:v>
      </x:c>
      <x:c r="L11" s="6" t="inlineStr">
        <x:is>
          <x:t xml:space="preserve"/>
        </x:is>
      </x:c>
    </x:row>
    <x:row r="12">
      <x:c r="A12" s="6" t="n">
        <x:v>11</x:v>
      </x:c>
      <x:c r="B12" s="6" t="inlineStr">
        <x:is>
          <x:t xml:space="preserve">Integration</x:t>
        </x:is>
      </x:c>
      <x:c r="C12" s="6" t="inlineStr">
        <x:is>
          <x:t xml:space="preserve">Parse and validate JSON response</x:t>
        </x:is>
      </x:c>
      <x:c r="D12" s="6" t="inlineStr">
        <x:is>
          <x:t xml:space="preserve">Member 2</x:t>
        </x:is>
      </x:c>
      <x:c r="E12" s="6" t="inlineStr">
        <x:is>
          <x:t xml:space="preserve">15-20h</x:t>
        </x:is>
      </x:c>
      <x:c r="F12" s="6" t="inlineStr">
        <x:is>
          <x:t xml:space="preserve">Cao</x:t>
        </x:is>
      </x:c>
      <x:c r="G12" s="6" t="inlineStr">
        <x:is>
          <x:t xml:space="preserve">Chưa làm</x:t>
        </x:is>
      </x:c>
      <x:c r="H12" s="6" t="inlineStr">
        <x:is>
          <x:t xml:space="preserve">9,10</x:t>
        </x:is>
      </x:c>
      <x:c r="I12" s="6" t="inlineStr">
        <x:is>
          <x:t xml:space="preserve">stable JSON parser</x:t>
        </x:is>
      </x:c>
      <x:c r="J12" s="15" t="n">
        <x:v>3</x:v>
      </x:c>
      <x:c r="K12" s="16" t="n">
        <x:v>0</x:v>
      </x:c>
      <x:c r="L12" s="6" t="inlineStr">
        <x:is>
          <x:t xml:space="preserve"/>
        </x:is>
      </x:c>
    </x:row>
    <x:row r="13">
      <x:c r="A13" s="6" t="n">
        <x:v>12</x:v>
      </x:c>
      <x:c r="B13" s="6" t="inlineStr">
        <x:is>
          <x:t xml:space="preserve">Alerting</x:t>
        </x:is>
      </x:c>
      <x:c r="C13" s="6" t="inlineStr">
        <x:is>
          <x:t xml:space="preserve">Configure SNS critical alert</x:t>
        </x:is>
      </x:c>
      <x:c r="D13" s="6" t="inlineStr">
        <x:is>
          <x:t xml:space="preserve">Member 1</x:t>
        </x:is>
      </x:c>
      <x:c r="E13" s="6" t="inlineStr">
        <x:is>
          <x:t xml:space="preserve">20-25h</x:t>
        </x:is>
      </x:c>
      <x:c r="F13" s="6" t="inlineStr">
        <x:is>
          <x:t xml:space="preserve">Cao</x:t>
        </x:is>
      </x:c>
      <x:c r="G13" s="6" t="inlineStr">
        <x:is>
          <x:t xml:space="preserve">Chưa làm</x:t>
        </x:is>
      </x:c>
      <x:c r="H13" s="6" t="inlineStr">
        <x:is>
          <x:t xml:space="preserve">10,11</x:t>
        </x:is>
      </x:c>
      <x:c r="I13" s="6" t="inlineStr">
        <x:is>
          <x:t xml:space="preserve">Email/SNS alert</x:t>
        </x:is>
      </x:c>
      <x:c r="J13" s="15" t="n">
        <x:v>3</x:v>
      </x:c>
      <x:c r="K13" s="16" t="n">
        <x:v>0</x:v>
      </x:c>
      <x:c r="L13" s="6" t="inlineStr">
        <x:is>
          <x:t xml:space="preserve"/>
        </x:is>
      </x:c>
    </x:row>
    <x:row r="14">
      <x:c r="A14" s="6" t="n">
        <x:v>13</x:v>
      </x:c>
      <x:c r="B14" s="6" t="inlineStr">
        <x:is>
          <x:t xml:space="preserve">Testing</x:t>
        </x:is>
      </x:c>
      <x:c r="C14" s="6" t="inlineStr">
        <x:is>
          <x:t xml:space="preserve">Run end-to-end test on critical sample</x:t>
        </x:is>
      </x:c>
      <x:c r="D14" s="6" t="inlineStr">
        <x:is>
          <x:t xml:space="preserve">Cả 2</x:t>
        </x:is>
      </x:c>
      <x:c r="E14" s="6" t="inlineStr">
        <x:is>
          <x:t xml:space="preserve">20-25h</x:t>
        </x:is>
      </x:c>
      <x:c r="F14" s="6" t="inlineStr">
        <x:is>
          <x:t xml:space="preserve">Cao</x:t>
        </x:is>
      </x:c>
      <x:c r="G14" s="6" t="inlineStr">
        <x:is>
          <x:t xml:space="preserve">Chưa làm</x:t>
        </x:is>
      </x:c>
      <x:c r="H14" s="6" t="inlineStr">
        <x:is>
          <x:t xml:space="preserve">12</x:t>
        </x:is>
      </x:c>
      <x:c r="I14" s="6" t="inlineStr">
        <x:is>
          <x:t xml:space="preserve">Full demo run once</x:t>
        </x:is>
      </x:c>
      <x:c r="J14" s="15" t="n">
        <x:v>2</x:v>
      </x:c>
      <x:c r="K14" s="16" t="n">
        <x:v>0</x:v>
      </x:c>
      <x:c r="L14" s="6" t="inlineStr">
        <x:is>
          <x:t xml:space="preserve"/>
        </x:is>
      </x:c>
    </x:row>
    <x:row r="15">
      <x:c r="A15" s="6" t="n">
        <x:v>14</x:v>
      </x:c>
      <x:c r="B15" s="6" t="inlineStr">
        <x:is>
          <x:t xml:space="preserve">Testing</x:t>
        </x:is>
      </x:c>
      <x:c r="C15" s="6" t="inlineStr">
        <x:is>
          <x:t xml:space="preserve">Prepare backup demo path with mock input</x:t>
        </x:is>
      </x:c>
      <x:c r="D15" s="6" t="inlineStr">
        <x:is>
          <x:t xml:space="preserve">Member 1</x:t>
        </x:is>
      </x:c>
      <x:c r="E15" s="6" t="inlineStr">
        <x:is>
          <x:t xml:space="preserve">20-25h</x:t>
        </x:is>
      </x:c>
      <x:c r="F15" s="6" t="inlineStr">
        <x:is>
          <x:t xml:space="preserve">Cao</x:t>
        </x:is>
      </x:c>
      <x:c r="G15" s="6" t="inlineStr">
        <x:is>
          <x:t xml:space="preserve">Chưa làm</x:t>
        </x:is>
      </x:c>
      <x:c r="H15" s="6" t="inlineStr">
        <x:is>
          <x:t xml:space="preserve">5,10</x:t>
        </x:is>
      </x:c>
      <x:c r="I15" s="6" t="inlineStr">
        <x:is>
          <x:t xml:space="preserve">Fallback demo script</x:t>
        </x:is>
      </x:c>
      <x:c r="J15" s="15" t="n">
        <x:v>2</x:v>
      </x:c>
      <x:c r="K15" s="16" t="n">
        <x:v>0</x:v>
      </x:c>
      <x:c r="L15" s="6" t="inlineStr">
        <x:is>
          <x:t xml:space="preserve"/>
        </x:is>
      </x:c>
    </x:row>
    <x:row r="16">
      <x:c r="A16" s="6" t="n">
        <x:v>15</x:v>
      </x:c>
      <x:c r="B16" s="6" t="inlineStr">
        <x:is>
          <x:t xml:space="preserve">Pitch</x:t>
        </x:is>
      </x:c>
      <x:c r="C16" s="6" t="inlineStr">
        <x:is>
          <x:t xml:space="preserve">Build 5-6 slide deck + architecture slide</x:t>
        </x:is>
      </x:c>
      <x:c r="D16" s="6" t="inlineStr">
        <x:is>
          <x:t xml:space="preserve">Member 2</x:t>
        </x:is>
      </x:c>
      <x:c r="E16" s="6" t="inlineStr">
        <x:is>
          <x:t xml:space="preserve">25-30h</x:t>
        </x:is>
      </x:c>
      <x:c r="F16" s="6" t="inlineStr">
        <x:is>
          <x:t xml:space="preserve">Trung bình</x:t>
        </x:is>
      </x:c>
      <x:c r="G16" s="6" t="inlineStr">
        <x:is>
          <x:t xml:space="preserve">Chưa làm</x:t>
        </x:is>
      </x:c>
      <x:c r="H16" s="6" t="inlineStr">
        <x:is>
          <x:t xml:space="preserve">2,13</x:t>
        </x:is>
      </x:c>
      <x:c r="I16" s="6" t="inlineStr">
        <x:is>
          <x:t xml:space="preserve">Slide draft</x:t>
        </x:is>
      </x:c>
      <x:c r="J16" s="15" t="n">
        <x:v>4</x:v>
      </x:c>
      <x:c r="K16" s="16" t="n">
        <x:v>0</x:v>
      </x:c>
      <x:c r="L16" s="6" t="inlineStr">
        <x:is>
          <x:t xml:space="preserve"/>
        </x:is>
      </x:c>
    </x:row>
    <x:row r="17">
      <x:c r="A17" s="6" t="n">
        <x:v>16</x:v>
      </x:c>
      <x:c r="B17" s="6" t="inlineStr">
        <x:is>
          <x:t xml:space="preserve">Pitch</x:t>
        </x:is>
      </x:c>
      <x:c r="C17" s="6" t="inlineStr">
        <x:is>
          <x:t xml:space="preserve">Write demo script + rehearse Q&amp;A</x:t>
        </x:is>
      </x:c>
      <x:c r="D17" s="6" t="inlineStr">
        <x:is>
          <x:t xml:space="preserve">Cả 2</x:t>
        </x:is>
      </x:c>
      <x:c r="E17" s="6" t="inlineStr">
        <x:is>
          <x:t xml:space="preserve">25-30h</x:t>
        </x:is>
      </x:c>
      <x:c r="F17" s="6" t="inlineStr">
        <x:is>
          <x:t xml:space="preserve">Cao</x:t>
        </x:is>
      </x:c>
      <x:c r="G17" s="6" t="inlineStr">
        <x:is>
          <x:t xml:space="preserve">Chưa làm</x:t>
        </x:is>
      </x:c>
      <x:c r="H17" s="6" t="inlineStr">
        <x:is>
          <x:t xml:space="preserve">13,15</x:t>
        </x:is>
      </x:c>
      <x:c r="I17" s="6" t="inlineStr">
        <x:is>
          <x:t xml:space="preserve">2-3 minute demo flow</x:t>
        </x:is>
      </x:c>
      <x:c r="J17" s="15" t="n">
        <x:v>4</x:v>
      </x:c>
      <x:c r="K17" s="16" t="n">
        <x:v>0</x:v>
      </x:c>
      <x:c r="L17" s="6" t="inlineStr">
        <x:is>
          <x:t xml:space="preserve"/>
        </x:is>
      </x:c>
    </x:row>
    <x:row r="18"/>
    <x:row r="19">
      <x:c r="I19" s="17" t="inlineStr">
        <x:is>
          <x:t xml:space="preserve">Total Estimated Effort</x:t>
        </x:is>
      </x:c>
      <x:c r="J19" s="18">
        <x:f>SUM(J2:J17)</x:f>
        <x:v>51</x:v>
      </x:c>
      <x:c r="K19" s="19">
        <x:f>AVERAGE(K2:K17)</x:f>
        <x:v>0</x:v>
      </x:c>
    </x:row>
  </x:sheetData>
  <x:conditionalFormatting sqref="G2:G17">
    <x:cfRule type="expression" dxfId="0" priority="1">
      <x:formula>G2="Xong"</x:formula>
    </x:cfRule>
    <x:cfRule type="expression" dxfId="1" priority="2">
      <x:formula>G2="Đang làm"</x:formula>
    </x:cfRule>
    <x:cfRule type="expression" dxfId="2" priority="3">
      <x:formula>G2="Bị chặn"</x:formula>
    </x:cfRule>
  </x:conditionalFormatting>
  <x:conditionalFormatting sqref="K2:K17">
    <x:cfRule type="dataBar" priority="4">
      <x:dataBar>
        <x:cfvo type="num" val="0"/>
        <x:cfvo type="num" val="100"/>
        <x:color rgb="005B9BD5"/>
      </x:dataBar>
    </x:cfRule>
  </x:conditionalFormatting>
  <x:dataValidations count="4">
    <x:dataValidation type="list" allowBlank="1" showDropDown="0" showInputMessage="0" showErrorMessage="0" sqref="G2:G17">
      <x:formula1>"Chưa làm,Đang làm,Xong,Bị chặn"</x:formula1>
    </x:dataValidation>
    <x:dataValidation type="list" allowBlank="1" showDropDown="0" showInputMessage="0" showErrorMessage="0" sqref="D2:D17">
      <x:formula1>"Member 1,Member 2,Cả 2"</x:formula1>
    </x:dataValidation>
    <x:dataValidation type="list" allowBlank="1" showDropDown="0" showInputMessage="0" showErrorMessage="0" sqref="F2:F17">
      <x:formula1>"Cao,Trung bình,Thấp"</x:formula1>
    </x:dataValidation>
    <x:dataValidation type="whole" operator="between" allowBlank="1" showDropDown="0" showInputMessage="0" showErrorMessage="0" sqref="K2:K17">
      <x:formula1>0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customWidth="1"/>
    <x:col min="2" max="2" width="10" customWidth="1"/>
    <x:col min="3" max="3" width="26" customWidth="1"/>
    <x:col min="4" max="4" width="30" customWidth="1"/>
    <x:col min="5" max="5" width="30" customWidth="1"/>
    <x:col min="6" max="6" width="14" customWidth="1"/>
    <x:col min="7" max="7" width="34" customWidth="1"/>
  </x:cols>
  <x:sheetData>
    <x:row r="1">
      <x:c r="A1" s="14" t="inlineStr">
        <x:is>
          <x:t xml:space="preserve">Block</x:t>
        </x:is>
      </x:c>
      <x:c r="B1" s="14" t="inlineStr">
        <x:is>
          <x:t xml:space="preserve">Window</x:t>
        </x:is>
      </x:c>
      <x:c r="C1" s="14" t="inlineStr">
        <x:is>
          <x:t xml:space="preserve">Main Goal</x:t>
        </x:is>
      </x:c>
      <x:c r="D1" s="14" t="inlineStr">
        <x:is>
          <x:t xml:space="preserve">Member 1 Focus</x:t>
        </x:is>
      </x:c>
      <x:c r="E1" s="14" t="inlineStr">
        <x:is>
          <x:t xml:space="preserve">Member 2 Focus</x:t>
        </x:is>
      </x:c>
      <x:c r="F1" s="14" t="inlineStr">
        <x:is>
          <x:t xml:space="preserve">Status</x:t>
        </x:is>
      </x:c>
      <x:c r="G1" s="14" t="inlineStr">
        <x:is>
          <x:t xml:space="preserve">Milestone / Go-NoGo</x:t>
        </x:is>
      </x:c>
    </x:row>
    <x:row r="2">
      <x:c r="A2" s="6" t="inlineStr">
        <x:is>
          <x:t xml:space="preserve">B1</x:t>
        </x:is>
      </x:c>
      <x:c r="B2" s="6" t="inlineStr">
        <x:is>
          <x:t xml:space="preserve">0-5h</x:t>
        </x:is>
      </x:c>
      <x:c r="C2" s="6" t="inlineStr">
        <x:is>
          <x:t xml:space="preserve">Lock scope and create foundation</x:t>
        </x:is>
      </x:c>
      <x:c r="D2" s="6" t="inlineStr">
        <x:is>
          <x:t xml:space="preserve">Repo + env + AWS checklist</x:t>
        </x:is>
      </x:c>
      <x:c r="E2" s="6" t="inlineStr">
        <x:is>
          <x:t xml:space="preserve">Use case + JSON schema + test samples</x:t>
        </x:is>
      </x:c>
      <x:c r="F2" s="6" t="inlineStr">
        <x:is>
          <x:t xml:space="preserve">Chưa làm</x:t>
        </x:is>
      </x:c>
      <x:c r="G2" s="6" t="inlineStr">
        <x:is>
          <x:t xml:space="preserve">Go if scope is frozen and repo is ready</x:t>
        </x:is>
      </x:c>
    </x:row>
    <x:row r="3">
      <x:c r="A3" s="6" t="inlineStr">
        <x:is>
          <x:t xml:space="preserve">B2</x:t>
        </x:is>
      </x:c>
      <x:c r="B3" s="6" t="inlineStr">
        <x:is>
          <x:t xml:space="preserve">5-10h</x:t>
        </x:is>
      </x:c>
      <x:c r="C3" s="6" t="inlineStr">
        <x:is>
          <x:t xml:space="preserve">Create data and AI foundation</x:t>
        </x:is>
      </x:c>
      <x:c r="D3" s="6" t="inlineStr">
        <x:is>
          <x:t xml:space="preserve">Collector v1 or mock collector</x:t>
        </x:is>
      </x:c>
      <x:c r="E3" s="6" t="inlineStr">
        <x:is>
          <x:t xml:space="preserve">Prompt v1 + threat taxonomy</x:t>
        </x:is>
      </x:c>
      <x:c r="F3" s="6" t="inlineStr">
        <x:is>
          <x:t xml:space="preserve">Chưa làm</x:t>
        </x:is>
      </x:c>
      <x:c r="G3" s="6" t="inlineStr">
        <x:is>
          <x:t xml:space="preserve">Go if raw text can be captured and prompt draft exists</x:t>
        </x:is>
      </x:c>
    </x:row>
    <x:row r="4">
      <x:c r="A4" s="6" t="inlineStr">
        <x:is>
          <x:t xml:space="preserve">B3</x:t>
        </x:is>
      </x:c>
      <x:c r="B4" s="6" t="inlineStr">
        <x:is>
          <x:t xml:space="preserve">10-15h</x:t>
        </x:is>
      </x:c>
      <x:c r="C4" s="6" t="inlineStr">
        <x:is>
          <x:t xml:space="preserve">Stand up cloud entry point</x:t>
        </x:is>
      </x:c>
      <x:c r="D4" s="6" t="inlineStr">
        <x:is>
          <x:t xml:space="preserve">API Gateway + Lambda skeleton</x:t>
        </x:is>
      </x:c>
      <x:c r="E4" s="6" t="inlineStr">
        <x:is>
          <x:t xml:space="preserve">Severity rules + sample expected outputs</x:t>
        </x:is>
      </x:c>
      <x:c r="F4" s="6" t="inlineStr">
        <x:is>
          <x:t xml:space="preserve">Chưa làm</x:t>
        </x:is>
      </x:c>
      <x:c r="G4" s="6" t="inlineStr">
        <x:is>
          <x:t xml:space="preserve">Go if POST request returns mock JSON</x:t>
        </x:is>
      </x:c>
    </x:row>
    <x:row r="5">
      <x:c r="A5" s="6" t="inlineStr">
        <x:is>
          <x:t xml:space="preserve">B4</x:t>
        </x:is>
      </x:c>
      <x:c r="B5" s="6" t="inlineStr">
        <x:is>
          <x:t xml:space="preserve">15-20h</x:t>
        </x:is>
      </x:c>
      <x:c r="C5" s="6" t="inlineStr">
        <x:is>
          <x:t xml:space="preserve">Connect intelligence layer</x:t>
        </x:is>
      </x:c>
      <x:c r="D5" s="6" t="inlineStr">
        <x:is>
          <x:t xml:space="preserve">Bedrock integration</x:t>
        </x:is>
      </x:c>
      <x:c r="E5" s="6" t="inlineStr">
        <x:is>
          <x:t xml:space="preserve">Response parser + validation</x:t>
        </x:is>
      </x:c>
      <x:c r="F5" s="6" t="inlineStr">
        <x:is>
          <x:t xml:space="preserve">Chưa làm</x:t>
        </x:is>
      </x:c>
      <x:c r="G5" s="6" t="inlineStr">
        <x:is>
          <x:t xml:space="preserve">Go if Bedrock returns structured result</x:t>
        </x:is>
      </x:c>
    </x:row>
    <x:row r="6">
      <x:c r="A6" s="6" t="inlineStr">
        <x:is>
          <x:t xml:space="preserve">B5</x:t>
        </x:is>
      </x:c>
      <x:c r="B6" s="6" t="inlineStr">
        <x:is>
          <x:t xml:space="preserve">20-25h</x:t>
        </x:is>
      </x:c>
      <x:c r="C6" s="6" t="inlineStr">
        <x:is>
          <x:t xml:space="preserve">Finish alerting and first full demo</x:t>
        </x:is>
      </x:c>
      <x:c r="D6" s="6" t="inlineStr">
        <x:is>
          <x:t xml:space="preserve">SNS alert + fallback path</x:t>
        </x:is>
      </x:c>
      <x:c r="E6" s="6" t="inlineStr">
        <x:is>
          <x:t xml:space="preserve">E2E test + fix false positives</x:t>
        </x:is>
      </x:c>
      <x:c r="F6" s="6" t="inlineStr">
        <x:is>
          <x:t xml:space="preserve">Chưa làm</x:t>
        </x:is>
      </x:c>
      <x:c r="G6" s="6" t="inlineStr">
        <x:is>
          <x:t xml:space="preserve">Go if critical sample triggers alert</x:t>
        </x:is>
      </x:c>
    </x:row>
    <x:row r="7">
      <x:c r="A7" s="6" t="inlineStr">
        <x:is>
          <x:t xml:space="preserve">B6</x:t>
        </x:is>
      </x:c>
      <x:c r="B7" s="6" t="inlineStr">
        <x:is>
          <x:t xml:space="preserve">25-30h</x:t>
        </x:is>
      </x:c>
      <x:c r="C7" s="6" t="inlineStr">
        <x:is>
          <x:t xml:space="preserve">Package for judging</x:t>
        </x:is>
      </x:c>
      <x:c r="D7" s="6" t="inlineStr">
        <x:is>
          <x:t xml:space="preserve">Polish backend + README</x:t>
        </x:is>
      </x:c>
      <x:c r="E7" s="6" t="inlineStr">
        <x:is>
          <x:t xml:space="preserve">Slides + demo script + rehearsal</x:t>
        </x:is>
      </x:c>
      <x:c r="F7" s="6" t="inlineStr">
        <x:is>
          <x:t xml:space="preserve">Chưa làm</x:t>
        </x:is>
      </x:c>
      <x:c r="G7" s="6" t="inlineStr">
        <x:is>
          <x:t xml:space="preserve">Go if demo can run in &lt;=3 minutes</x:t>
        </x:is>
      </x:c>
    </x:row>
  </x:sheetData>
  <x:dataValidations count="1">
    <x:dataValidation type="list" allowBlank="1" showDropDown="0" showInputMessage="0" showErrorMessage="0" sqref="F2:F7">
      <x:formula1>"Chưa làm,Đang làm,Xong,Bị chặn"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30" customWidth="1"/>
    <x:col min="3" max="3" width="12" customWidth="1"/>
    <x:col min="4" max="4" width="44" customWidth="1"/>
    <x:col min="5" max="5" width="12" customWidth="1"/>
    <x:col min="6" max="6" width="14" customWidth="1"/>
  </x:cols>
  <x:sheetData>
    <x:row r="1">
      <x:c r="A1" s="14" t="inlineStr">
        <x:is>
          <x:t xml:space="preserve">ID</x:t>
        </x:is>
      </x:c>
      <x:c r="B1" s="14" t="inlineStr">
        <x:is>
          <x:t xml:space="preserve">Risk</x:t>
        </x:is>
      </x:c>
      <x:c r="C1" s="14" t="inlineStr">
        <x:is>
          <x:t xml:space="preserve">Impact</x:t>
        </x:is>
      </x:c>
      <x:c r="D1" s="14" t="inlineStr">
        <x:is>
          <x:t xml:space="preserve">Mitigation</x:t>
        </x:is>
      </x:c>
      <x:c r="E1" s="14" t="inlineStr">
        <x:is>
          <x:t xml:space="preserve">Owner</x:t>
        </x:is>
      </x:c>
      <x:c r="F1" s="14" t="inlineStr">
        <x:is>
          <x:t xml:space="preserve">Status</x:t>
        </x:is>
      </x:c>
    </x:row>
    <x:row r="2">
      <x:c r="A2" s="6" t="n">
        <x:v>1</x:v>
      </x:c>
      <x:c r="B2" s="6" t="inlineStr">
        <x:is>
          <x:t xml:space="preserve">Live source / Tiny Fish flow fails during demo</x:t>
        </x:is>
      </x:c>
      <x:c r="C2" s="6" t="inlineStr">
        <x:is>
          <x:t xml:space="preserve">High</x:t>
        </x:is>
      </x:c>
      <x:c r="D2" s="6" t="inlineStr">
        <x:is>
          <x:t xml:space="preserve">Always keep mock input and cached sample output ready</x:t>
        </x:is>
      </x:c>
      <x:c r="E2" s="6" t="inlineStr">
        <x:is>
          <x:t xml:space="preserve">Member 1</x:t>
        </x:is>
      </x:c>
      <x:c r="F2" s="6" t="inlineStr">
        <x:is>
          <x:t xml:space="preserve">Chưa làm</x:t>
        </x:is>
      </x:c>
    </x:row>
    <x:row r="3">
      <x:c r="A3" s="6" t="n">
        <x:v>2</x:v>
      </x:c>
      <x:c r="B3" s="6" t="inlineStr">
        <x:is>
          <x:t xml:space="preserve">Bedrock output is inconsistent</x:t>
        </x:is>
      </x:c>
      <x:c r="C3" s="6" t="inlineStr">
        <x:is>
          <x:t xml:space="preserve">High</x:t>
        </x:is>
      </x:c>
      <x:c r="D3" s="6" t="inlineStr">
        <x:is>
          <x:t xml:space="preserve">Force JSON schema and add parser validation fallback</x:t>
        </x:is>
      </x:c>
      <x:c r="E3" s="6" t="inlineStr">
        <x:is>
          <x:t xml:space="preserve">Member 2</x:t>
        </x:is>
      </x:c>
      <x:c r="F3" s="6" t="inlineStr">
        <x:is>
          <x:t xml:space="preserve">Chưa làm</x:t>
        </x:is>
      </x:c>
    </x:row>
    <x:row r="4">
      <x:c r="A4" s="6" t="n">
        <x:v>3</x:v>
      </x:c>
      <x:c r="B4" s="6" t="inlineStr">
        <x:is>
          <x:t xml:space="preserve">SNS setup breaks near deadline</x:t>
        </x:is>
      </x:c>
      <x:c r="C4" s="6" t="inlineStr">
        <x:is>
          <x:t xml:space="preserve">Medium</x:t>
        </x:is>
      </x:c>
      <x:c r="D4" s="6" t="inlineStr">
        <x:is>
          <x:t xml:space="preserve">Use email or log fallback for judging demo</x:t>
        </x:is>
      </x:c>
      <x:c r="E4" s="6" t="inlineStr">
        <x:is>
          <x:t xml:space="preserve">Member 1</x:t>
        </x:is>
      </x:c>
      <x:c r="F4" s="6" t="inlineStr">
        <x:is>
          <x:t xml:space="preserve">Chưa làm</x:t>
        </x:is>
      </x:c>
    </x:row>
    <x:row r="5">
      <x:c r="A5" s="6" t="n">
        <x:v>4</x:v>
      </x:c>
      <x:c r="B5" s="6" t="inlineStr">
        <x:is>
          <x:t xml:space="preserve">Scope creep from extra features</x:t>
        </x:is>
      </x:c>
      <x:c r="C5" s="6" t="inlineStr">
        <x:is>
          <x:t xml:space="preserve">High</x:t>
        </x:is>
      </x:c>
      <x:c r="D5" s="6" t="inlineStr">
        <x:is>
          <x:t xml:space="preserve">Reject new features after hour 10 unless critical to demo</x:t>
        </x:is>
      </x:c>
      <x:c r="E5" s="6" t="inlineStr">
        <x:is>
          <x:t xml:space="preserve">Cả 2</x:t>
        </x:is>
      </x:c>
      <x:c r="F5" s="6" t="inlineStr">
        <x:is>
          <x:t xml:space="preserve">Chưa làm</x:t>
        </x:is>
      </x:c>
    </x:row>
    <x:row r="6">
      <x:c r="A6" s="6" t="n">
        <x:v>5</x:v>
      </x:c>
      <x:c r="B6" s="6" t="inlineStr">
        <x:is>
          <x:t xml:space="preserve">Team loses time on bugs instead of narrative</x:t>
        </x:is>
      </x:c>
      <x:c r="C6" s="6" t="inlineStr">
        <x:is>
          <x:t xml:space="preserve">Medium</x:t>
        </x:is>
      </x:c>
      <x:c r="D6" s="6" t="inlineStr">
        <x:is>
          <x:t xml:space="preserve">Lock final demo path by hour 25 and rehearse</x:t>
        </x:is>
      </x:c>
      <x:c r="E6" s="6" t="inlineStr">
        <x:is>
          <x:t xml:space="preserve">Cả 2</x:t>
        </x:is>
      </x:c>
      <x:c r="F6" s="6" t="inlineStr">
        <x:is>
          <x:t xml:space="preserve">Chưa làm</x:t>
        </x:is>
      </x:c>
    </x:row>
  </x:sheetData>
  <x:dataValidations count="1">
    <x:dataValidation type="list" allowBlank="1" showDropDown="0" showInputMessage="0" showErrorMessage="0" sqref="F2:F6">
      <x:formula1>"Chưa làm,Đang làm,Xong,Bị chặn"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2" customWidth="1"/>
    <x:col min="3" max="3" width="48" customWidth="1"/>
    <x:col min="4" max="4" width="32" customWidth="1"/>
  </x:cols>
  <x:sheetData>
    <x:row r="1">
      <x:c r="A1" s="14" t="inlineStr">
        <x:is>
          <x:t xml:space="preserve">Member</x:t>
        </x:is>
      </x:c>
      <x:c r="B1" s="14" t="inlineStr">
        <x:is>
          <x:t xml:space="preserve">Primary Role</x:t>
        </x:is>
      </x:c>
      <x:c r="C1" s="14" t="inlineStr">
        <x:is>
          <x:t xml:space="preserve">Main Responsibility</x:t>
        </x:is>
      </x:c>
      <x:c r="D1" s="14" t="inlineStr">
        <x:is>
          <x:t xml:space="preserve">Success Metric</x:t>
        </x:is>
      </x:c>
    </x:row>
    <x:row r="2">
      <x:c r="A2" s="6" t="inlineStr">
        <x:is>
          <x:t xml:space="preserve">Member 1</x:t>
        </x:is>
      </x:c>
      <x:c r="B2" s="6" t="inlineStr">
        <x:is>
          <x:t xml:space="preserve">Backend / Cloud</x:t>
        </x:is>
      </x:c>
      <x:c r="C2" s="6" t="inlineStr">
        <x:is>
          <x:t xml:space="preserve">Collector, API Gateway, Lambda, Bedrock wiring, SNS, fallback demo</x:t>
        </x:is>
      </x:c>
      <x:c r="D2" s="6" t="inlineStr">
        <x:is>
          <x:t xml:space="preserve">Pipeline runs from input to alert</x:t>
        </x:is>
      </x:c>
    </x:row>
    <x:row r="3">
      <x:c r="A3" s="6" t="inlineStr">
        <x:is>
          <x:t xml:space="preserve">Member 2</x:t>
        </x:is>
      </x:c>
      <x:c r="B3" s="6" t="inlineStr">
        <x:is>
          <x:t xml:space="preserve">AI / Security / Product</x:t>
        </x:is>
      </x:c>
      <x:c r="C3" s="6" t="inlineStr">
        <x:is>
          <x:t xml:space="preserve">Prompting, severity logic, test cases, slides, demo narrative, Q&amp;A</x:t>
        </x:is>
      </x:c>
      <x:c r="D3" s="6" t="inlineStr">
        <x:is>
          <x:t xml:space="preserve">AI output is credible and pitch is clear</x:t>
        </x:is>
      </x:c>
    </x:row>
  </x:sheetData>
  <x:pageMargins left="0.7" right="0.7" top="0.75" bottom="0.75" header="0.3" footer="0.3"/>
</x:worksheet>
</file>